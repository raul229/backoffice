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JA ENTEL\CLIENTES\INDUMENTARIS E.I.R.L. - 20614166810\"/>
    </mc:Choice>
  </mc:AlternateContent>
  <xr:revisionPtr revIDLastSave="0" documentId="13_ncr:1_{FDF28169-9815-4753-A0B1-30B05330BEC7}" xr6:coauthVersionLast="47" xr6:coauthVersionMax="47" xr10:uidLastSave="{00000000-0000-0000-0000-000000000000}"/>
  <bookViews>
    <workbookView xWindow="-108" yWindow="-108" windowWidth="23256" windowHeight="12456" xr2:uid="{4CCD2CD8-3545-4A9C-85DD-6C8721D7A4E2}"/>
  </bookViews>
  <sheets>
    <sheet name="SOLICITUD T Y S" sheetId="1" r:id="rId1"/>
    <sheet name="SUPLEMENTARIOS" sheetId="2" state="hidden" r:id="rId2"/>
    <sheet name="Datos" sheetId="3" state="hidden" r:id="rId3"/>
  </sheets>
  <definedNames>
    <definedName name="Departament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8" i="1" l="1"/>
  <c r="F32" i="1"/>
  <c r="F31" i="1"/>
  <c r="F30" i="1"/>
  <c r="F29" i="1"/>
  <c r="G33" i="1"/>
  <c r="F33" i="1" l="1"/>
  <c r="G45" i="1" l="1"/>
  <c r="G46" i="1"/>
  <c r="G47" i="1"/>
  <c r="G48" i="1"/>
  <c r="G49" i="1"/>
  <c r="G50" i="1"/>
  <c r="G51" i="1"/>
  <c r="G52" i="1"/>
  <c r="G53" i="1"/>
  <c r="G44" i="1"/>
  <c r="G54" i="1" l="1"/>
  <c r="C6" i="1"/>
  <c r="F54" i="1"/>
  <c r="F56" i="1" l="1"/>
  <c r="G56" i="1"/>
</calcChain>
</file>

<file path=xl/sharedStrings.xml><?xml version="1.0" encoding="utf-8"?>
<sst xmlns="http://schemas.openxmlformats.org/spreadsheetml/2006/main" count="150" uniqueCount="140">
  <si>
    <t>PLAN CONTRATADO</t>
  </si>
  <si>
    <t>BOLSAS DE TELEONÍA</t>
  </si>
  <si>
    <t>DETALLE SUCURSAL</t>
  </si>
  <si>
    <t>DETALLE DE BOLSA</t>
  </si>
  <si>
    <t>LARGA DISTANCIA INTERNACIONAL</t>
  </si>
  <si>
    <t>LARGA DISTANCIA NACIONAL</t>
  </si>
  <si>
    <t>TELEFONIA FIJA (AL MINUTO)</t>
  </si>
  <si>
    <t>TELEFONIA MÓVIL</t>
  </si>
  <si>
    <t>PLAN INTERNET</t>
  </si>
  <si>
    <t>PLAN DE INTERNET</t>
  </si>
  <si>
    <t>TARIFA MENSUAL SIN IGV</t>
  </si>
  <si>
    <t>DETALLE DE SERVICIOS SUPLEMENTARIOS</t>
  </si>
  <si>
    <t>Instalación</t>
  </si>
  <si>
    <t>BOLSA</t>
  </si>
  <si>
    <t>PRODUCTO</t>
  </si>
  <si>
    <t>CANTIDAD</t>
  </si>
  <si>
    <t>DETALLE CLIENTE</t>
  </si>
  <si>
    <t>PLANTILLA TARIFAS Y SERVICIOS</t>
  </si>
  <si>
    <t>Detalle de Servicios Suplementarios</t>
  </si>
  <si>
    <t>Servicio</t>
  </si>
  <si>
    <t>Cantidad</t>
  </si>
  <si>
    <t>Alquiler access point TP Link</t>
  </si>
  <si>
    <t>Alquiler firewall Sonicwall NSA200</t>
  </si>
  <si>
    <t>Alquiler router Cisco 1751 mas switch 12m</t>
  </si>
  <si>
    <t>Alquiler router Cisco 1841 mas switch 12m</t>
  </si>
  <si>
    <t>Alquiler router Cisco 1841 mas switch 18m</t>
  </si>
  <si>
    <t>Alquiler router Cisco 1841 mas switch 24m</t>
  </si>
  <si>
    <t>Alquiler router Cisco 1841 mas switch 36m</t>
  </si>
  <si>
    <t>Alquiler router Cisco 2801 mas switch 12m</t>
  </si>
  <si>
    <t>Alquiler router Cisco 2801 mas switch 18m</t>
  </si>
  <si>
    <t>Alquiler router Cisco 2801 mas switch 24m</t>
  </si>
  <si>
    <t>Alquiler router Cisco 2801 mas switch 36m</t>
  </si>
  <si>
    <t>Alquiler router Cisco 851 mas switch 12m</t>
  </si>
  <si>
    <t>Alquiler router Cisco 851 mas switch 24m</t>
  </si>
  <si>
    <t>Alquiler router Cisco 851 mas switch 36m</t>
  </si>
  <si>
    <t>Alquiler router Cisco 861 mas switch 12m</t>
  </si>
  <si>
    <t>Alquiler router Cisco 871 mas switch 12m</t>
  </si>
  <si>
    <t>Alquiler Unifi AC LR 12m</t>
  </si>
  <si>
    <t>Alquiler Unifi AC LR 24m</t>
  </si>
  <si>
    <t>Alquiler Unifi AC LR 36m</t>
  </si>
  <si>
    <t>Alquiler Unifi AC PRO 12m</t>
  </si>
  <si>
    <t>Alquiler Unifi AC PRO 24m</t>
  </si>
  <si>
    <t>Alquiler Unifi AC PRO 36m</t>
  </si>
  <si>
    <t>Bloqueo Larga Distancia Internacional</t>
  </si>
  <si>
    <t>Bloqueo Larga Distancia Internacional 1era vez</t>
  </si>
  <si>
    <t>Bloqueo Larga Distancia Nacional</t>
  </si>
  <si>
    <t>Bloqueo Larga Distancia Nacional 1era vez</t>
  </si>
  <si>
    <t>Bloqueo Moviles</t>
  </si>
  <si>
    <t>Bloqueo Moviles 1era vez</t>
  </si>
  <si>
    <t>Bloqueo Total</t>
  </si>
  <si>
    <t>Bloqueo Total 1era vez</t>
  </si>
  <si>
    <t>Cambio de numero telefonico</t>
  </si>
  <si>
    <t>CISCO ISR 1111</t>
  </si>
  <si>
    <t>CISCO ISR 1111 v2</t>
  </si>
  <si>
    <t>Fax virtual 1era linea</t>
  </si>
  <si>
    <t>Fax virtual lineas adicionales</t>
  </si>
  <si>
    <t>Gaoke MG600XN</t>
  </si>
  <si>
    <t>Instalacion - Pack Empresas LTE</t>
  </si>
  <si>
    <t>Instalacion Gratis - Pack Empresa - Canal Digital</t>
  </si>
  <si>
    <t>Internet Seguro - Perfil Basico (0 Mbps a 20 Mbps)</t>
  </si>
  <si>
    <t>Internet Seguro - Perfil Basico (21 Mbps a 50 Mbps)</t>
  </si>
  <si>
    <t>Internet Seguro - Perfil Estricto (51 Mbps a 100 Mbps)</t>
  </si>
  <si>
    <t>Linea Adicional - Con Costo</t>
  </si>
  <si>
    <t>Mano de obra por servicio tecnico</t>
  </si>
  <si>
    <t>Mano de obra por servicio tecnico A</t>
  </si>
  <si>
    <t>Mano de obra por servicio tecnico C</t>
  </si>
  <si>
    <t>Mano de obra por servicio tecnico D</t>
  </si>
  <si>
    <t>Materiales extras</t>
  </si>
  <si>
    <t>NGN Alquiler AP AC-LR</t>
  </si>
  <si>
    <t>NGN Alquiler AP AC-PRO-E</t>
  </si>
  <si>
    <t>NGN Alquiler router Cisco 1921</t>
  </si>
  <si>
    <t>NGN Alquiler router Cisco 881</t>
  </si>
  <si>
    <t>NGN Alquiler router Cisco ISR4221+FL-4220-PERF-K9</t>
  </si>
  <si>
    <t>NGN PLUS - Pool de 4 IPs</t>
  </si>
  <si>
    <t>NGN Pool de 4 IPs adicionales</t>
  </si>
  <si>
    <t>NGN Pool de 8 IPs adicionales</t>
  </si>
  <si>
    <t>Pool de 16 IPs adicionales</t>
  </si>
  <si>
    <t>Promo Instalacion - Canal Digital</t>
  </si>
  <si>
    <t>Reubicacion de equipos A</t>
  </si>
  <si>
    <t>Reubicacion de equipos B</t>
  </si>
  <si>
    <t>Reubicacion de equipos C</t>
  </si>
  <si>
    <t>Reubicacion de equipos D</t>
  </si>
  <si>
    <t>Reubicacion de equipos E</t>
  </si>
  <si>
    <t>Reubicacion de equipos F</t>
  </si>
  <si>
    <t>Reubicacion de equipos G</t>
  </si>
  <si>
    <t>Reubicacion de equipos H</t>
  </si>
  <si>
    <t>Reubicacion de equipos I</t>
  </si>
  <si>
    <t>Reubicacion de equipos sin costo</t>
  </si>
  <si>
    <t>Servicio de Seguridad y gestion de ancho de banda - Exenta Networks</t>
  </si>
  <si>
    <t>Servicio POS IP Mastercard</t>
  </si>
  <si>
    <t>Servicio POS IP Visa</t>
  </si>
  <si>
    <t>Traslado de equipos</t>
  </si>
  <si>
    <t>Traslado de equipos B</t>
  </si>
  <si>
    <t>Traslado de equipos C</t>
  </si>
  <si>
    <t>Traslado de equipos D</t>
  </si>
  <si>
    <t>Traslado de Equipos E</t>
  </si>
  <si>
    <t>UPS</t>
  </si>
  <si>
    <t>UPS 1kVA online</t>
  </si>
  <si>
    <t>Revisar hoja de "Suplementarios" para poder llenar la tabla</t>
  </si>
  <si>
    <t>CLIENTE*</t>
  </si>
  <si>
    <t>CONTACTO*</t>
  </si>
  <si>
    <t>EJECUTIVO*</t>
  </si>
  <si>
    <t>TIPO DE DIRECCIÓN*</t>
  </si>
  <si>
    <t>SUCURSAL (DIRECCIÓN)*</t>
  </si>
  <si>
    <t>TOTAL</t>
  </si>
  <si>
    <t>TOTAL SERVICIOS SUPLEMENTARIOS</t>
  </si>
  <si>
    <t>TOTAL BOLSA DE TELEFONÍA</t>
  </si>
  <si>
    <t>TARIFA MENSUAL CON IGV</t>
  </si>
  <si>
    <t>RENTA MENSUAL SIN IGV</t>
  </si>
  <si>
    <t>RENTA MENSUAL CON IGV</t>
  </si>
  <si>
    <t>Tarifa s/igv</t>
  </si>
  <si>
    <t>Departamento</t>
  </si>
  <si>
    <t>Provincia</t>
  </si>
  <si>
    <t>Distrito</t>
  </si>
  <si>
    <t>Tipo de plan</t>
  </si>
  <si>
    <t xml:space="preserve">Tipo de Plan </t>
  </si>
  <si>
    <t>RADWIN - ASIMÉTRICO</t>
  </si>
  <si>
    <t>LTE</t>
  </si>
  <si>
    <t>GPON - GRANULARIDAD - 36 M</t>
  </si>
  <si>
    <t>GPON - GRANULARIDAD - 24 M</t>
  </si>
  <si>
    <t>GPON - GRANULARIDAD - 12 M</t>
  </si>
  <si>
    <t>GPON EXTENDIDA - 12 M</t>
  </si>
  <si>
    <t>&lt;&lt;opcional&gt;&gt;</t>
  </si>
  <si>
    <t>Otros</t>
  </si>
  <si>
    <t>VERSION 2.0</t>
  </si>
  <si>
    <t>HUAWEI AR611W</t>
  </si>
  <si>
    <t>HUAWEI AR651</t>
  </si>
  <si>
    <t>Alquiler AP Huawei</t>
  </si>
  <si>
    <t>ONT HUAWEI B650G</t>
  </si>
  <si>
    <t>Instalacion GPON</t>
  </si>
  <si>
    <t>Pack Empresas_SIM</t>
  </si>
  <si>
    <t>Ilimitado</t>
  </si>
  <si>
    <t>Telefonía Móvil_Pack Empresas_SIM</t>
  </si>
  <si>
    <t>LIMA</t>
  </si>
  <si>
    <t>LUIS ZAMBRANO</t>
  </si>
  <si>
    <t>INDUMENTARIS E.I.R.L.</t>
  </si>
  <si>
    <t>MARCO LEONCIO MARTINEZ LLERENA</t>
  </si>
  <si>
    <t>Jiron SEBASTIAN BARRANCA NRO. 1670 Piso 3 INT 330 Galeria AVIACION URB. GAMARRA (La Victoria - Lima - Lima) (REF: -12.066494,-77.012462)</t>
  </si>
  <si>
    <t>LA VICTORIA</t>
  </si>
  <si>
    <t>Pack Empresas 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</si>
</sst>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&quot;S/&quot;* #,##0.00_-;\-&quot;S/&quot;* #,##0.00_-;_-&quot;S/&quot;* &quot;-&quot;??_-;_-@_-"/>
    <numFmt numFmtId="165" formatCode="_-[$S/-280A]\ * #,##0.00_-;\-[$S/-280A]\ * #,##0.00_-;_-[$S/-280A]\ * &quot;-&quot;??_-;_-@_-"/>
  </numFmts>
  <fonts count="11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1"/>
      <color theme="0" tint="-0.499984740745262"/>
      <name val="Calibri"/>
      <family val="2"/>
      <scheme val="minor"/>
    </font>
    <font>
      <sz val="11"/>
      <color rgb="FFFF3300"/>
      <name val="Calibri"/>
      <family val="2"/>
      <scheme val="minor"/>
    </font>
    <font>
      <sz val="14"/>
      <color rgb="FFFF33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rgb="FFFF3300"/>
      </left>
      <right style="medium">
        <color rgb="FFFF3300"/>
      </right>
      <top style="medium">
        <color rgb="FFFF3300"/>
      </top>
      <bottom style="medium">
        <color rgb="FFFF3300"/>
      </bottom>
      <diagonal/>
    </border>
    <border>
      <left style="medium">
        <color rgb="FFFF3300"/>
      </left>
      <right/>
      <top style="medium">
        <color rgb="FFFF3300"/>
      </top>
      <bottom/>
      <diagonal/>
    </border>
    <border>
      <left/>
      <right/>
      <top style="medium">
        <color rgb="FFFF3300"/>
      </top>
      <bottom/>
      <diagonal/>
    </border>
    <border>
      <left/>
      <right style="medium">
        <color rgb="FFFF3300"/>
      </right>
      <top style="medium">
        <color rgb="FFFF3300"/>
      </top>
      <bottom/>
      <diagonal/>
    </border>
    <border>
      <left style="medium">
        <color rgb="FFFF3300"/>
      </left>
      <right/>
      <top/>
      <bottom/>
      <diagonal/>
    </border>
    <border>
      <left/>
      <right style="medium">
        <color rgb="FFFF3300"/>
      </right>
      <top/>
      <bottom/>
      <diagonal/>
    </border>
    <border>
      <left style="medium">
        <color rgb="FFFF3300"/>
      </left>
      <right/>
      <top/>
      <bottom style="medium">
        <color rgb="FFFF3300"/>
      </bottom>
      <diagonal/>
    </border>
    <border>
      <left/>
      <right/>
      <top/>
      <bottom style="medium">
        <color rgb="FFFF3300"/>
      </bottom>
      <diagonal/>
    </border>
    <border>
      <left/>
      <right style="medium">
        <color rgb="FFFF3300"/>
      </right>
      <top/>
      <bottom style="medium">
        <color rgb="FFFF3300"/>
      </bottom>
      <diagonal/>
    </border>
    <border>
      <left/>
      <right/>
      <top style="thin">
        <color theme="1"/>
      </top>
      <bottom/>
      <diagonal/>
    </border>
    <border>
      <left style="medium">
        <color rgb="FFFF3300"/>
      </left>
      <right/>
      <top style="medium">
        <color rgb="FFFF3300"/>
      </top>
      <bottom style="medium">
        <color rgb="FFFF3300"/>
      </bottom>
      <diagonal/>
    </border>
    <border>
      <left/>
      <right/>
      <top style="medium">
        <color rgb="FFFF3300"/>
      </top>
      <bottom style="medium">
        <color rgb="FFFF3300"/>
      </bottom>
      <diagonal/>
    </border>
    <border>
      <left/>
      <right style="medium">
        <color rgb="FFFF3300"/>
      </right>
      <top style="medium">
        <color rgb="FFFF3300"/>
      </top>
      <bottom style="medium">
        <color rgb="FFFF330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 applyProtection="1">
      <alignment horizontal="center" vertical="center" wrapText="1"/>
      <protection locked="0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164" fontId="0" fillId="0" borderId="1" xfId="0" applyNumberForma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vertical="center" wrapText="1"/>
      <protection locked="0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 applyProtection="1">
      <alignment horizontal="center" vertical="center" wrapText="1"/>
      <protection locked="0"/>
    </xf>
    <xf numFmtId="0" fontId="4" fillId="0" borderId="2" xfId="0" applyFont="1" applyBorder="1" applyAlignment="1">
      <alignment horizontal="left" vertical="center" wrapText="1"/>
    </xf>
    <xf numFmtId="0" fontId="0" fillId="2" borderId="19" xfId="0" applyFill="1" applyBorder="1" applyAlignment="1">
      <alignment horizontal="left" vertical="center" wrapText="1"/>
    </xf>
    <xf numFmtId="0" fontId="8" fillId="0" borderId="6" xfId="0" applyFont="1" applyBorder="1" applyAlignment="1">
      <alignment horizontal="right" vertical="center" wrapText="1"/>
    </xf>
    <xf numFmtId="165" fontId="0" fillId="0" borderId="1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8" fillId="3" borderId="1" xfId="0" applyFont="1" applyFill="1" applyBorder="1" applyAlignment="1" applyProtection="1">
      <alignment horizontal="center" vertical="center" wrapText="1"/>
      <protection locked="0"/>
    </xf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65" fontId="8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8" fillId="4" borderId="1" xfId="0" applyFont="1" applyFill="1" applyBorder="1" applyAlignment="1" applyProtection="1">
      <alignment horizontal="center" vertical="center" wrapText="1"/>
      <protection locked="0"/>
    </xf>
    <xf numFmtId="165" fontId="8" fillId="3" borderId="1" xfId="0" applyNumberFormat="1" applyFont="1" applyFill="1" applyBorder="1" applyAlignment="1" applyProtection="1">
      <alignment vertical="center" wrapText="1"/>
      <protection locked="0"/>
    </xf>
    <xf numFmtId="0" fontId="10" fillId="0" borderId="0" xfId="0" applyFont="1" applyAlignment="1">
      <alignment horizontal="left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8" fillId="3" borderId="2" xfId="0" applyFont="1" applyFill="1" applyBorder="1" applyAlignment="1" applyProtection="1">
      <alignment horizontal="center" vertical="center" wrapText="1"/>
      <protection locked="0"/>
    </xf>
    <xf numFmtId="0" fontId="8" fillId="3" borderId="17" xfId="0" applyFont="1" applyFill="1" applyBorder="1" applyAlignment="1" applyProtection="1">
      <alignment horizontal="center" vertical="center" wrapText="1"/>
      <protection locked="0"/>
    </xf>
    <xf numFmtId="0" fontId="8" fillId="3" borderId="18" xfId="0" applyFont="1" applyFill="1" applyBorder="1" applyAlignment="1" applyProtection="1">
      <alignment horizontal="center" vertical="center" wrapText="1"/>
      <protection locked="0"/>
    </xf>
    <xf numFmtId="0" fontId="4" fillId="0" borderId="13" xfId="0" applyFont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057BFE3-A115-4757-8264-AD451E3E0863}"/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8468</xdr:colOff>
      <xdr:row>40</xdr:row>
      <xdr:rowOff>8467</xdr:rowOff>
    </xdr:from>
    <xdr:to>
      <xdr:col>6</xdr:col>
      <xdr:colOff>0</xdr:colOff>
      <xdr:row>40</xdr:row>
      <xdr:rowOff>220134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63601" y="8525934"/>
          <a:ext cx="7069666" cy="21166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40</xdr:row>
          <xdr:rowOff>7620</xdr:rowOff>
        </xdr:from>
        <xdr:to>
          <xdr:col>7</xdr:col>
          <xdr:colOff>22860</xdr:colOff>
          <xdr:row>40</xdr:row>
          <xdr:rowOff>213360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Revisar hoja de "Suplementarios" para llenar la tabla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82AC6-44F2-4FB1-B98E-61FE79A36DCE}">
  <sheetPr codeName="Hoja1"/>
  <dimension ref="B1:H57"/>
  <sheetViews>
    <sheetView showGridLines="0" tabSelected="1" topLeftCell="A56" zoomScaleNormal="100" workbookViewId="0">
      <selection activeCell="G39" sqref="G39"/>
    </sheetView>
  </sheetViews>
  <sheetFormatPr baseColWidth="10" defaultColWidth="11.5546875" defaultRowHeight="14.4" x14ac:dyDescent="0.3"/>
  <cols>
    <col min="1" max="1" width="5.33203125" style="36" customWidth="1"/>
    <col min="2" max="2" width="7.33203125" style="36" customWidth="1"/>
    <col min="3" max="3" width="25.6640625" style="2" customWidth="1"/>
    <col min="4" max="4" width="35.5546875" style="2" customWidth="1"/>
    <col min="5" max="7" width="25.6640625" style="2" customWidth="1"/>
    <col min="8" max="8" width="7.109375" style="36" customWidth="1"/>
    <col min="9" max="16384" width="11.5546875" style="36"/>
  </cols>
  <sheetData>
    <row r="1" spans="2:8" ht="15" thickBot="1" x14ac:dyDescent="0.35"/>
    <row r="2" spans="2:8" ht="15" thickBot="1" x14ac:dyDescent="0.35">
      <c r="B2" s="37"/>
      <c r="C2" s="5"/>
      <c r="D2" s="5"/>
      <c r="E2" s="5"/>
      <c r="F2" s="5"/>
      <c r="G2" s="31" t="s">
        <v>124</v>
      </c>
      <c r="H2" s="38"/>
    </row>
    <row r="3" spans="2:8" ht="15.75" customHeight="1" x14ac:dyDescent="0.3">
      <c r="B3" s="39"/>
      <c r="C3" s="49" t="s">
        <v>17</v>
      </c>
      <c r="D3" s="50"/>
      <c r="E3" s="50"/>
      <c r="F3" s="50"/>
      <c r="G3" s="51"/>
      <c r="H3" s="40"/>
    </row>
    <row r="4" spans="2:8" ht="14.4" customHeight="1" x14ac:dyDescent="0.3">
      <c r="B4" s="39"/>
      <c r="C4" s="52"/>
      <c r="D4" s="53"/>
      <c r="E4" s="53"/>
      <c r="F4" s="53"/>
      <c r="G4" s="54"/>
      <c r="H4" s="40"/>
    </row>
    <row r="5" spans="2:8" ht="14.4" customHeight="1" thickBot="1" x14ac:dyDescent="0.35">
      <c r="B5" s="39"/>
      <c r="C5" s="55"/>
      <c r="D5" s="56"/>
      <c r="E5" s="56"/>
      <c r="F5" s="56"/>
      <c r="G5" s="57"/>
      <c r="H5" s="40"/>
    </row>
    <row r="6" spans="2:8" ht="18" x14ac:dyDescent="0.3">
      <c r="B6" s="39"/>
      <c r="C6" s="65" t="str">
        <f>+IF((D10="")+(D11="")+(D17=""),"FORMULARIO INCOMPLETO: FALTA COMPLETAR CAMPOS OBLIGATORIOS","EL FORMULARIO SE ENCUENTRA LISTO PARA ENVIAR")</f>
        <v>EL FORMULARIO SE ENCUENTRA LISTO PARA ENVIAR</v>
      </c>
      <c r="D6" s="65"/>
      <c r="E6" s="65"/>
      <c r="F6" s="65"/>
      <c r="H6" s="40"/>
    </row>
    <row r="7" spans="2:8" ht="15" thickBot="1" x14ac:dyDescent="0.35">
      <c r="B7" s="39"/>
      <c r="H7" s="40"/>
    </row>
    <row r="8" spans="2:8" ht="22.2" customHeight="1" thickBot="1" x14ac:dyDescent="0.35">
      <c r="B8" s="39"/>
      <c r="C8" s="58" t="s">
        <v>16</v>
      </c>
      <c r="D8" s="59"/>
      <c r="E8" s="59"/>
      <c r="F8" s="59"/>
      <c r="G8" s="60"/>
      <c r="H8" s="40"/>
    </row>
    <row r="9" spans="2:8" x14ac:dyDescent="0.3">
      <c r="B9" s="39"/>
      <c r="H9" s="40"/>
    </row>
    <row r="10" spans="2:8" ht="21" customHeight="1" x14ac:dyDescent="0.3">
      <c r="B10" s="39"/>
      <c r="C10" s="7" t="s">
        <v>99</v>
      </c>
      <c r="D10" s="34" t="s">
        <v>135</v>
      </c>
      <c r="E10" s="36"/>
      <c r="H10" s="40"/>
    </row>
    <row r="11" spans="2:8" ht="21" customHeight="1" x14ac:dyDescent="0.3">
      <c r="B11" s="39"/>
      <c r="C11" s="7" t="s">
        <v>100</v>
      </c>
      <c r="D11" s="34" t="s">
        <v>136</v>
      </c>
      <c r="E11" s="36"/>
      <c r="H11" s="40"/>
    </row>
    <row r="12" spans="2:8" ht="22.95" customHeight="1" x14ac:dyDescent="0.3">
      <c r="B12" s="39"/>
      <c r="C12" s="7" t="s">
        <v>101</v>
      </c>
      <c r="D12" s="34" t="s">
        <v>134</v>
      </c>
      <c r="E12" s="36"/>
      <c r="H12" s="40"/>
    </row>
    <row r="13" spans="2:8" ht="15" thickBot="1" x14ac:dyDescent="0.35">
      <c r="B13" s="39"/>
      <c r="H13" s="40"/>
    </row>
    <row r="14" spans="2:8" ht="21.6" customHeight="1" thickBot="1" x14ac:dyDescent="0.35">
      <c r="B14" s="39"/>
      <c r="C14" s="58" t="s">
        <v>2</v>
      </c>
      <c r="D14" s="59"/>
      <c r="E14" s="59"/>
      <c r="F14" s="59"/>
      <c r="G14" s="60"/>
      <c r="H14" s="40"/>
    </row>
    <row r="15" spans="2:8" x14ac:dyDescent="0.3">
      <c r="B15" s="39"/>
      <c r="H15" s="40"/>
    </row>
    <row r="16" spans="2:8" ht="22.95" customHeight="1" x14ac:dyDescent="0.3">
      <c r="B16" s="39"/>
      <c r="C16" s="7" t="s">
        <v>102</v>
      </c>
      <c r="D16" s="23" t="s">
        <v>12</v>
      </c>
      <c r="H16" s="40"/>
    </row>
    <row r="17" spans="2:8" ht="22.2" customHeight="1" x14ac:dyDescent="0.3">
      <c r="B17" s="39"/>
      <c r="C17" s="7" t="s">
        <v>103</v>
      </c>
      <c r="D17" s="61" t="s">
        <v>137</v>
      </c>
      <c r="E17" s="62"/>
      <c r="F17" s="62"/>
      <c r="G17" s="63"/>
      <c r="H17" s="40"/>
    </row>
    <row r="18" spans="2:8" ht="22.2" customHeight="1" x14ac:dyDescent="0.3">
      <c r="B18" s="39"/>
      <c r="C18" s="27"/>
      <c r="D18" s="28"/>
      <c r="E18" s="28"/>
      <c r="F18" s="28"/>
      <c r="G18" s="28"/>
      <c r="H18" s="40"/>
    </row>
    <row r="19" spans="2:8" ht="22.2" customHeight="1" x14ac:dyDescent="0.3">
      <c r="B19" s="39"/>
      <c r="C19" s="27" t="s">
        <v>111</v>
      </c>
      <c r="D19" s="34" t="s">
        <v>133</v>
      </c>
      <c r="E19" s="28"/>
      <c r="F19" s="28"/>
      <c r="G19" s="28"/>
      <c r="H19" s="40"/>
    </row>
    <row r="20" spans="2:8" ht="22.2" customHeight="1" x14ac:dyDescent="0.3">
      <c r="B20" s="39"/>
      <c r="C20" s="27" t="s">
        <v>112</v>
      </c>
      <c r="D20" s="34" t="s">
        <v>133</v>
      </c>
      <c r="E20" s="28"/>
      <c r="F20" s="28"/>
      <c r="G20" s="28"/>
      <c r="H20" s="40"/>
    </row>
    <row r="21" spans="2:8" ht="22.2" customHeight="1" x14ac:dyDescent="0.3">
      <c r="B21" s="39"/>
      <c r="C21" s="27" t="s">
        <v>113</v>
      </c>
      <c r="D21" s="34" t="s">
        <v>138</v>
      </c>
      <c r="E21" s="28"/>
      <c r="F21" s="28"/>
      <c r="G21" s="28"/>
      <c r="H21" s="40"/>
    </row>
    <row r="22" spans="2:8" ht="22.2" customHeight="1" thickBot="1" x14ac:dyDescent="0.35">
      <c r="B22" s="39"/>
      <c r="C22" s="27"/>
      <c r="D22" s="28"/>
      <c r="E22" s="28"/>
      <c r="F22" s="28"/>
      <c r="G22" s="28"/>
      <c r="H22" s="40"/>
    </row>
    <row r="23" spans="2:8" ht="24.6" customHeight="1" thickBot="1" x14ac:dyDescent="0.35">
      <c r="B23" s="39"/>
      <c r="C23" s="58" t="s">
        <v>1</v>
      </c>
      <c r="D23" s="59"/>
      <c r="E23" s="59"/>
      <c r="F23" s="59"/>
      <c r="G23" s="60"/>
      <c r="H23" s="40"/>
    </row>
    <row r="24" spans="2:8" ht="21.6" customHeight="1" thickBot="1" x14ac:dyDescent="0.35">
      <c r="B24" s="39"/>
      <c r="C24" s="58" t="s">
        <v>3</v>
      </c>
      <c r="D24" s="59"/>
      <c r="E24" s="59"/>
      <c r="F24" s="59"/>
      <c r="G24" s="60"/>
      <c r="H24" s="40"/>
    </row>
    <row r="25" spans="2:8" x14ac:dyDescent="0.3">
      <c r="B25" s="39"/>
      <c r="H25" s="40"/>
    </row>
    <row r="26" spans="2:8" x14ac:dyDescent="0.3">
      <c r="B26" s="39"/>
      <c r="C26" s="29" t="s">
        <v>114</v>
      </c>
      <c r="D26" s="30" t="s">
        <v>123</v>
      </c>
      <c r="H26" s="40"/>
    </row>
    <row r="27" spans="2:8" x14ac:dyDescent="0.3">
      <c r="B27" s="39"/>
      <c r="H27" s="40"/>
    </row>
    <row r="28" spans="2:8" ht="29.4" customHeight="1" x14ac:dyDescent="0.3">
      <c r="B28" s="39"/>
      <c r="C28" s="4"/>
      <c r="D28" s="9" t="s">
        <v>0</v>
      </c>
      <c r="E28" s="9" t="s">
        <v>13</v>
      </c>
      <c r="F28" s="9" t="s">
        <v>10</v>
      </c>
      <c r="G28" s="9" t="s">
        <v>107</v>
      </c>
      <c r="H28" s="40"/>
    </row>
    <row r="29" spans="2:8" s="4" customFormat="1" ht="28.8" x14ac:dyDescent="0.3">
      <c r="B29" s="41"/>
      <c r="C29" s="8" t="s">
        <v>4</v>
      </c>
      <c r="D29" s="19" t="s">
        <v>122</v>
      </c>
      <c r="E29" s="19" t="s">
        <v>122</v>
      </c>
      <c r="F29" s="32">
        <f>+G29/0.18</f>
        <v>0</v>
      </c>
      <c r="G29" s="32">
        <v>0</v>
      </c>
      <c r="H29" s="42"/>
    </row>
    <row r="30" spans="2:8" ht="32.25" customHeight="1" x14ac:dyDescent="0.3">
      <c r="B30" s="39"/>
      <c r="C30" s="8" t="s">
        <v>5</v>
      </c>
      <c r="D30" s="19" t="s">
        <v>122</v>
      </c>
      <c r="E30" s="19" t="s">
        <v>122</v>
      </c>
      <c r="F30" s="32">
        <f>+G30/1.18</f>
        <v>0</v>
      </c>
      <c r="G30" s="32">
        <v>0</v>
      </c>
      <c r="H30" s="40"/>
    </row>
    <row r="31" spans="2:8" ht="32.25" customHeight="1" x14ac:dyDescent="0.3">
      <c r="B31" s="39"/>
      <c r="C31" s="8" t="s">
        <v>6</v>
      </c>
      <c r="D31" s="35" t="s">
        <v>130</v>
      </c>
      <c r="E31" s="35" t="s">
        <v>131</v>
      </c>
      <c r="F31" s="32">
        <f>+G31/1.18</f>
        <v>4.491525423728814</v>
      </c>
      <c r="G31" s="43">
        <v>5.3</v>
      </c>
      <c r="H31" s="40"/>
    </row>
    <row r="32" spans="2:8" ht="21.6" customHeight="1" x14ac:dyDescent="0.3">
      <c r="B32" s="39"/>
      <c r="C32" s="8" t="s">
        <v>7</v>
      </c>
      <c r="D32" s="35" t="s">
        <v>132</v>
      </c>
      <c r="E32" s="35">
        <v>300</v>
      </c>
      <c r="F32" s="32">
        <f>+G32/1.18</f>
        <v>3.8983050847457625</v>
      </c>
      <c r="G32" s="43">
        <v>4.5999999999999996</v>
      </c>
      <c r="H32" s="40"/>
    </row>
    <row r="33" spans="2:8" ht="21.6" customHeight="1" x14ac:dyDescent="0.3">
      <c r="B33" s="39"/>
      <c r="C33" s="64" t="s">
        <v>106</v>
      </c>
      <c r="D33" s="64"/>
      <c r="E33" s="64"/>
      <c r="F33" s="21">
        <f>SUM(F29:F32)</f>
        <v>8.3898305084745761</v>
      </c>
      <c r="G33" s="21">
        <f>SUM(G29:G32)</f>
        <v>9.8999999999999986</v>
      </c>
      <c r="H33" s="40"/>
    </row>
    <row r="34" spans="2:8" ht="19.95" customHeight="1" thickBot="1" x14ac:dyDescent="0.35">
      <c r="B34" s="39"/>
      <c r="C34" s="4"/>
      <c r="H34" s="40"/>
    </row>
    <row r="35" spans="2:8" ht="25.95" customHeight="1" thickBot="1" x14ac:dyDescent="0.35">
      <c r="B35" s="39"/>
      <c r="C35" s="58" t="s">
        <v>8</v>
      </c>
      <c r="D35" s="59"/>
      <c r="E35" s="59"/>
      <c r="F35" s="59"/>
      <c r="G35" s="60"/>
      <c r="H35" s="40"/>
    </row>
    <row r="36" spans="2:8" x14ac:dyDescent="0.3">
      <c r="B36" s="39"/>
      <c r="H36" s="40"/>
    </row>
    <row r="37" spans="2:8" ht="20.399999999999999" customHeight="1" x14ac:dyDescent="0.3">
      <c r="B37" s="39"/>
      <c r="C37" s="69" t="s">
        <v>9</v>
      </c>
      <c r="D37" s="70"/>
      <c r="E37" s="71"/>
      <c r="F37" s="9" t="s">
        <v>10</v>
      </c>
      <c r="G37" s="9" t="s">
        <v>107</v>
      </c>
      <c r="H37" s="40"/>
    </row>
    <row r="38" spans="2:8" ht="23.4" customHeight="1" x14ac:dyDescent="0.3">
      <c r="B38" s="39"/>
      <c r="C38" s="61" t="s">
        <v>139</v>
      </c>
      <c r="D38" s="62"/>
      <c r="E38" s="63"/>
      <c r="F38" s="25">
        <f>G38/1.18</f>
        <v>101.69491525423729</v>
      </c>
      <c r="G38" s="47">
        <v>120</v>
      </c>
      <c r="H38" s="40"/>
    </row>
    <row r="39" spans="2:8" ht="15" thickBot="1" x14ac:dyDescent="0.35">
      <c r="B39" s="39"/>
      <c r="G39" s="48"/>
      <c r="H39" s="40"/>
    </row>
    <row r="40" spans="2:8" ht="24.6" customHeight="1" thickBot="1" x14ac:dyDescent="0.35">
      <c r="B40" s="39"/>
      <c r="C40" s="58" t="s">
        <v>11</v>
      </c>
      <c r="D40" s="59"/>
      <c r="E40" s="59"/>
      <c r="F40" s="59"/>
      <c r="G40" s="60"/>
      <c r="H40" s="40"/>
    </row>
    <row r="41" spans="2:8" ht="18" customHeight="1" thickBot="1" x14ac:dyDescent="0.35">
      <c r="B41" s="39"/>
      <c r="C41" s="66" t="s">
        <v>98</v>
      </c>
      <c r="D41" s="67"/>
      <c r="E41" s="67"/>
      <c r="F41" s="68"/>
      <c r="H41" s="40"/>
    </row>
    <row r="42" spans="2:8" ht="18" customHeight="1" x14ac:dyDescent="0.3">
      <c r="B42" s="39"/>
      <c r="H42" s="40"/>
    </row>
    <row r="43" spans="2:8" ht="24.6" customHeight="1" x14ac:dyDescent="0.3">
      <c r="B43" s="39"/>
      <c r="C43" s="3"/>
      <c r="D43" s="9" t="s">
        <v>14</v>
      </c>
      <c r="E43" s="9" t="s">
        <v>15</v>
      </c>
      <c r="F43" s="9" t="s">
        <v>108</v>
      </c>
      <c r="G43" s="9" t="s">
        <v>109</v>
      </c>
      <c r="H43" s="40"/>
    </row>
    <row r="44" spans="2:8" ht="22.95" customHeight="1" x14ac:dyDescent="0.3">
      <c r="B44" s="39"/>
      <c r="C44" s="3">
        <v>1</v>
      </c>
      <c r="D44" s="46" t="s">
        <v>46</v>
      </c>
      <c r="E44" s="46">
        <v>1</v>
      </c>
      <c r="F44" s="32">
        <v>0</v>
      </c>
      <c r="G44" s="20">
        <f>F44*1.18</f>
        <v>0</v>
      </c>
      <c r="H44" s="40"/>
    </row>
    <row r="45" spans="2:8" ht="22.95" customHeight="1" x14ac:dyDescent="0.3">
      <c r="B45" s="39"/>
      <c r="C45" s="3">
        <v>2</v>
      </c>
      <c r="D45" s="46" t="s">
        <v>44</v>
      </c>
      <c r="E45" s="46">
        <v>1</v>
      </c>
      <c r="F45" s="32">
        <v>0</v>
      </c>
      <c r="G45" s="20">
        <f t="shared" ref="G45:G53" si="0">F45*1.18</f>
        <v>0</v>
      </c>
      <c r="H45" s="40"/>
    </row>
    <row r="46" spans="2:8" ht="22.95" customHeight="1" x14ac:dyDescent="0.3">
      <c r="B46" s="39"/>
      <c r="C46" s="3">
        <v>3</v>
      </c>
      <c r="D46" s="46" t="s">
        <v>129</v>
      </c>
      <c r="E46" s="46">
        <v>1</v>
      </c>
      <c r="F46" s="32">
        <v>0</v>
      </c>
      <c r="G46" s="20">
        <f t="shared" si="0"/>
        <v>0</v>
      </c>
      <c r="H46" s="40"/>
    </row>
    <row r="47" spans="2:8" ht="29.25" customHeight="1" x14ac:dyDescent="0.3">
      <c r="B47" s="39"/>
      <c r="C47" s="3">
        <v>4</v>
      </c>
      <c r="D47" s="33"/>
      <c r="E47" s="19"/>
      <c r="F47" s="32">
        <v>0</v>
      </c>
      <c r="G47" s="20">
        <f t="shared" si="0"/>
        <v>0</v>
      </c>
      <c r="H47" s="40"/>
    </row>
    <row r="48" spans="2:8" ht="22.95" customHeight="1" x14ac:dyDescent="0.3">
      <c r="B48" s="39"/>
      <c r="C48" s="3">
        <v>5</v>
      </c>
      <c r="D48" s="33"/>
      <c r="E48" s="19"/>
      <c r="F48" s="32">
        <v>0</v>
      </c>
      <c r="G48" s="20">
        <f t="shared" si="0"/>
        <v>0</v>
      </c>
      <c r="H48" s="40"/>
    </row>
    <row r="49" spans="2:8" ht="22.95" customHeight="1" x14ac:dyDescent="0.3">
      <c r="B49" s="39"/>
      <c r="C49" s="3">
        <v>6</v>
      </c>
      <c r="D49" s="33"/>
      <c r="E49" s="19"/>
      <c r="F49" s="32">
        <v>0</v>
      </c>
      <c r="G49" s="20">
        <f t="shared" si="0"/>
        <v>0</v>
      </c>
      <c r="H49" s="40"/>
    </row>
    <row r="50" spans="2:8" ht="22.95" customHeight="1" x14ac:dyDescent="0.3">
      <c r="B50" s="39"/>
      <c r="C50" s="3">
        <v>7</v>
      </c>
      <c r="D50" s="33"/>
      <c r="E50" s="19"/>
      <c r="F50" s="32">
        <v>0</v>
      </c>
      <c r="G50" s="20">
        <f t="shared" si="0"/>
        <v>0</v>
      </c>
      <c r="H50" s="40"/>
    </row>
    <row r="51" spans="2:8" ht="22.95" customHeight="1" x14ac:dyDescent="0.3">
      <c r="B51" s="39"/>
      <c r="C51" s="3">
        <v>8</v>
      </c>
      <c r="D51" s="33"/>
      <c r="E51" s="19"/>
      <c r="F51" s="32">
        <v>0</v>
      </c>
      <c r="G51" s="20">
        <f t="shared" si="0"/>
        <v>0</v>
      </c>
      <c r="H51" s="40"/>
    </row>
    <row r="52" spans="2:8" ht="22.95" customHeight="1" x14ac:dyDescent="0.3">
      <c r="B52" s="39"/>
      <c r="C52" s="3">
        <v>9</v>
      </c>
      <c r="D52" s="33"/>
      <c r="E52" s="19"/>
      <c r="F52" s="32">
        <v>0</v>
      </c>
      <c r="G52" s="20">
        <f t="shared" si="0"/>
        <v>0</v>
      </c>
      <c r="H52" s="40"/>
    </row>
    <row r="53" spans="2:8" ht="22.95" customHeight="1" x14ac:dyDescent="0.3">
      <c r="B53" s="39"/>
      <c r="C53" s="3">
        <v>10</v>
      </c>
      <c r="D53" s="33"/>
      <c r="E53" s="19"/>
      <c r="F53" s="32">
        <v>0</v>
      </c>
      <c r="G53" s="20">
        <f t="shared" si="0"/>
        <v>0</v>
      </c>
      <c r="H53" s="40"/>
    </row>
    <row r="54" spans="2:8" ht="22.95" customHeight="1" x14ac:dyDescent="0.3">
      <c r="B54" s="39"/>
      <c r="C54" s="64" t="s">
        <v>105</v>
      </c>
      <c r="D54" s="64"/>
      <c r="E54" s="64"/>
      <c r="F54" s="21">
        <f>+SUM(F44:F53)</f>
        <v>0</v>
      </c>
      <c r="G54" s="21">
        <f>+SUM(G44:G53)</f>
        <v>0</v>
      </c>
      <c r="H54" s="40"/>
    </row>
    <row r="55" spans="2:8" ht="22.95" customHeight="1" x14ac:dyDescent="0.3">
      <c r="B55" s="39"/>
      <c r="C55" s="4"/>
      <c r="D55" s="4"/>
      <c r="E55" s="4"/>
      <c r="F55" s="4"/>
      <c r="H55" s="40"/>
    </row>
    <row r="56" spans="2:8" ht="22.95" customHeight="1" x14ac:dyDescent="0.3">
      <c r="B56" s="39"/>
      <c r="C56" s="4"/>
      <c r="E56" s="9" t="s">
        <v>104</v>
      </c>
      <c r="F56" s="22">
        <f>+SUM(F54,F38,F33)</f>
        <v>110.08474576271186</v>
      </c>
      <c r="G56" s="22">
        <f>+SUM(G54,G38,G33)</f>
        <v>129.9</v>
      </c>
      <c r="H56" s="40"/>
    </row>
    <row r="57" spans="2:8" ht="15" thickBot="1" x14ac:dyDescent="0.35">
      <c r="B57" s="44"/>
      <c r="C57" s="6"/>
      <c r="D57" s="6"/>
      <c r="E57" s="6"/>
      <c r="F57" s="6"/>
      <c r="G57" s="6"/>
      <c r="H57" s="45"/>
    </row>
  </sheetData>
  <sheetProtection formatCells="0" formatColumns="0" formatRows="0" insertColumns="0" insertRows="0" insertHyperlinks="0" deleteColumns="0" deleteRows="0" sort="0" autoFilter="0" pivotTables="0"/>
  <mergeCells count="14">
    <mergeCell ref="C54:E54"/>
    <mergeCell ref="C6:F6"/>
    <mergeCell ref="C41:F41"/>
    <mergeCell ref="C33:E33"/>
    <mergeCell ref="C24:G24"/>
    <mergeCell ref="C35:G35"/>
    <mergeCell ref="C37:E37"/>
    <mergeCell ref="C38:E38"/>
    <mergeCell ref="C40:G40"/>
    <mergeCell ref="C3:G5"/>
    <mergeCell ref="C8:G8"/>
    <mergeCell ref="C14:G14"/>
    <mergeCell ref="D17:G17"/>
    <mergeCell ref="C23:G23"/>
  </mergeCells>
  <pageMargins left="0.7" right="0.7" top="0.75" bottom="0.75" header="0.3" footer="0.3"/>
  <pageSetup paperSize="9" orientation="portrait" r:id="rId1"/>
  <ignoredErrors>
    <ignoredError sqref="G44:G53 F38 F29:F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2">
                <anchor moveWithCells="1" sizeWithCells="1">
                  <from>
                    <xdr:col>1</xdr:col>
                    <xdr:colOff>480060</xdr:colOff>
                    <xdr:row>40</xdr:row>
                    <xdr:rowOff>7620</xdr:rowOff>
                  </from>
                  <to>
                    <xdr:col>7</xdr:col>
                    <xdr:colOff>22860</xdr:colOff>
                    <xdr:row>40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925709-E0A4-46EF-AFBA-92C7DFD0EB64}">
          <x14:formula1>
            <xm:f>Datos!$B$3:$B$9</xm:f>
          </x14:formula1>
          <xm:sqref>D26</xm:sqref>
        </x14:dataValidation>
        <x14:dataValidation type="list" allowBlank="1" showInputMessage="1" showErrorMessage="1" xr:uid="{C7ECFA35-4D11-4456-9CD5-B8E22F69B974}">
          <x14:formula1>
            <xm:f>SUPLEMENTARIOS!$C$6:$C$87</xm:f>
          </x14:formula1>
          <xm:sqref>D44:D53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FDD9-917D-4E3C-B581-14A02D2CA80A}">
  <sheetPr codeName="Hoja2"/>
  <dimension ref="B1:F88"/>
  <sheetViews>
    <sheetView showGridLines="0" topLeftCell="A25" workbookViewId="0">
      <selection activeCell="E47" sqref="E47"/>
    </sheetView>
  </sheetViews>
  <sheetFormatPr baseColWidth="10" defaultRowHeight="14.4" x14ac:dyDescent="0.3"/>
  <cols>
    <col min="1" max="1" width="4" customWidth="1"/>
    <col min="2" max="2" width="3.88671875" customWidth="1"/>
    <col min="3" max="3" width="58" bestFit="1" customWidth="1"/>
    <col min="4" max="4" width="7" customWidth="1"/>
    <col min="6" max="6" width="3.5546875" customWidth="1"/>
  </cols>
  <sheetData>
    <row r="1" spans="2:6" ht="15" thickBot="1" x14ac:dyDescent="0.35"/>
    <row r="2" spans="2:6" ht="15" thickBot="1" x14ac:dyDescent="0.35">
      <c r="B2" s="11"/>
      <c r="C2" s="12"/>
      <c r="D2" s="12"/>
      <c r="E2" s="12"/>
      <c r="F2" s="13"/>
    </row>
    <row r="3" spans="2:6" ht="21.6" thickBot="1" x14ac:dyDescent="0.35">
      <c r="B3" s="14"/>
      <c r="C3" s="72" t="s">
        <v>18</v>
      </c>
      <c r="D3" s="72"/>
      <c r="E3" s="72"/>
      <c r="F3" s="15"/>
    </row>
    <row r="4" spans="2:6" x14ac:dyDescent="0.3">
      <c r="B4" s="14"/>
      <c r="F4" s="15"/>
    </row>
    <row r="5" spans="2:6" x14ac:dyDescent="0.3">
      <c r="B5" s="14"/>
      <c r="C5" s="10" t="s">
        <v>19</v>
      </c>
      <c r="D5" s="10" t="s">
        <v>20</v>
      </c>
      <c r="E5" s="10" t="s">
        <v>110</v>
      </c>
      <c r="F5" s="15"/>
    </row>
    <row r="6" spans="2:6" x14ac:dyDescent="0.3">
      <c r="B6" s="14"/>
      <c r="C6" s="1" t="s">
        <v>21</v>
      </c>
      <c r="D6" s="24"/>
      <c r="E6" s="26">
        <v>8.4033999999999995</v>
      </c>
      <c r="F6" s="15"/>
    </row>
    <row r="7" spans="2:6" x14ac:dyDescent="0.3">
      <c r="B7" s="14"/>
      <c r="C7" s="1" t="s">
        <v>22</v>
      </c>
      <c r="D7" s="24">
        <v>3</v>
      </c>
      <c r="E7" s="26">
        <v>532</v>
      </c>
      <c r="F7" s="15"/>
    </row>
    <row r="8" spans="2:6" x14ac:dyDescent="0.3">
      <c r="B8" s="14"/>
      <c r="C8" s="1" t="s">
        <v>127</v>
      </c>
      <c r="D8" s="24"/>
      <c r="E8" s="26">
        <v>19.899999999999999</v>
      </c>
      <c r="F8" s="15"/>
    </row>
    <row r="9" spans="2:6" x14ac:dyDescent="0.3">
      <c r="B9" s="14"/>
      <c r="C9" s="1" t="s">
        <v>23</v>
      </c>
      <c r="D9" s="24"/>
      <c r="E9" s="26">
        <v>165</v>
      </c>
      <c r="F9" s="15"/>
    </row>
    <row r="10" spans="2:6" x14ac:dyDescent="0.3">
      <c r="B10" s="14"/>
      <c r="C10" s="1" t="s">
        <v>24</v>
      </c>
      <c r="D10" s="24"/>
      <c r="E10" s="26">
        <v>200</v>
      </c>
      <c r="F10" s="15"/>
    </row>
    <row r="11" spans="2:6" x14ac:dyDescent="0.3">
      <c r="B11" s="14"/>
      <c r="C11" s="1" t="s">
        <v>25</v>
      </c>
      <c r="D11" s="24"/>
      <c r="E11" s="26">
        <v>135</v>
      </c>
      <c r="F11" s="15"/>
    </row>
    <row r="12" spans="2:6" x14ac:dyDescent="0.3">
      <c r="B12" s="14"/>
      <c r="C12" s="1" t="s">
        <v>26</v>
      </c>
      <c r="D12" s="24"/>
      <c r="E12" s="26">
        <v>100</v>
      </c>
      <c r="F12" s="15"/>
    </row>
    <row r="13" spans="2:6" x14ac:dyDescent="0.3">
      <c r="B13" s="14"/>
      <c r="C13" s="1" t="s">
        <v>27</v>
      </c>
      <c r="D13" s="24"/>
      <c r="E13" s="26">
        <v>70</v>
      </c>
      <c r="F13" s="15"/>
    </row>
    <row r="14" spans="2:6" x14ac:dyDescent="0.3">
      <c r="B14" s="14"/>
      <c r="C14" s="1" t="s">
        <v>28</v>
      </c>
      <c r="D14" s="24"/>
      <c r="E14" s="26">
        <v>325</v>
      </c>
      <c r="F14" s="15"/>
    </row>
    <row r="15" spans="2:6" x14ac:dyDescent="0.3">
      <c r="B15" s="14"/>
      <c r="C15" s="1" t="s">
        <v>29</v>
      </c>
      <c r="D15" s="24"/>
      <c r="E15" s="26">
        <v>215</v>
      </c>
      <c r="F15" s="15"/>
    </row>
    <row r="16" spans="2:6" x14ac:dyDescent="0.3">
      <c r="B16" s="14"/>
      <c r="C16" s="1" t="s">
        <v>30</v>
      </c>
      <c r="D16" s="24"/>
      <c r="E16" s="26">
        <v>165</v>
      </c>
      <c r="F16" s="15"/>
    </row>
    <row r="17" spans="2:6" x14ac:dyDescent="0.3">
      <c r="B17" s="14"/>
      <c r="C17" s="1" t="s">
        <v>31</v>
      </c>
      <c r="D17" s="24"/>
      <c r="E17" s="26">
        <v>110</v>
      </c>
      <c r="F17" s="15"/>
    </row>
    <row r="18" spans="2:6" x14ac:dyDescent="0.3">
      <c r="B18" s="14"/>
      <c r="C18" s="1" t="s">
        <v>32</v>
      </c>
      <c r="D18" s="24"/>
      <c r="E18" s="26">
        <v>75</v>
      </c>
      <c r="F18" s="15"/>
    </row>
    <row r="19" spans="2:6" x14ac:dyDescent="0.3">
      <c r="B19" s="14"/>
      <c r="C19" s="1" t="s">
        <v>33</v>
      </c>
      <c r="D19" s="24"/>
      <c r="E19" s="26">
        <v>35</v>
      </c>
      <c r="F19" s="15"/>
    </row>
    <row r="20" spans="2:6" x14ac:dyDescent="0.3">
      <c r="B20" s="14"/>
      <c r="C20" s="1" t="s">
        <v>34</v>
      </c>
      <c r="D20" s="24"/>
      <c r="E20" s="26">
        <v>25</v>
      </c>
      <c r="F20" s="15"/>
    </row>
    <row r="21" spans="2:6" x14ac:dyDescent="0.3">
      <c r="B21" s="14"/>
      <c r="C21" s="1" t="s">
        <v>35</v>
      </c>
      <c r="D21" s="24"/>
      <c r="E21" s="26">
        <v>75</v>
      </c>
      <c r="F21" s="15"/>
    </row>
    <row r="22" spans="2:6" x14ac:dyDescent="0.3">
      <c r="B22" s="14"/>
      <c r="C22" s="1" t="s">
        <v>36</v>
      </c>
      <c r="D22" s="24"/>
      <c r="E22" s="26">
        <v>75</v>
      </c>
      <c r="F22" s="15"/>
    </row>
    <row r="23" spans="2:6" x14ac:dyDescent="0.3">
      <c r="B23" s="14"/>
      <c r="C23" s="1" t="s">
        <v>128</v>
      </c>
      <c r="D23" s="24"/>
      <c r="E23" s="26">
        <v>82</v>
      </c>
      <c r="F23" s="15"/>
    </row>
    <row r="24" spans="2:6" x14ac:dyDescent="0.3">
      <c r="B24" s="14"/>
      <c r="C24" s="1" t="s">
        <v>37</v>
      </c>
      <c r="D24" s="24">
        <v>10</v>
      </c>
      <c r="E24" s="26">
        <v>35</v>
      </c>
      <c r="F24" s="15"/>
    </row>
    <row r="25" spans="2:6" x14ac:dyDescent="0.3">
      <c r="B25" s="14"/>
      <c r="C25" s="1" t="s">
        <v>38</v>
      </c>
      <c r="D25" s="24"/>
      <c r="E25" s="26">
        <v>20</v>
      </c>
      <c r="F25" s="15"/>
    </row>
    <row r="26" spans="2:6" x14ac:dyDescent="0.3">
      <c r="B26" s="14"/>
      <c r="C26" s="1" t="s">
        <v>39</v>
      </c>
      <c r="D26" s="24"/>
      <c r="E26" s="26">
        <v>15</v>
      </c>
      <c r="F26" s="15"/>
    </row>
    <row r="27" spans="2:6" x14ac:dyDescent="0.3">
      <c r="B27" s="14"/>
      <c r="C27" s="1" t="s">
        <v>40</v>
      </c>
      <c r="D27" s="24"/>
      <c r="E27" s="26">
        <v>40</v>
      </c>
      <c r="F27" s="15"/>
    </row>
    <row r="28" spans="2:6" x14ac:dyDescent="0.3">
      <c r="B28" s="14"/>
      <c r="C28" s="1" t="s">
        <v>41</v>
      </c>
      <c r="D28" s="24"/>
      <c r="E28" s="26">
        <v>25</v>
      </c>
      <c r="F28" s="15"/>
    </row>
    <row r="29" spans="2:6" x14ac:dyDescent="0.3">
      <c r="B29" s="14"/>
      <c r="C29" s="1" t="s">
        <v>42</v>
      </c>
      <c r="D29" s="24"/>
      <c r="E29" s="26">
        <v>20</v>
      </c>
      <c r="F29" s="15"/>
    </row>
    <row r="30" spans="2:6" x14ac:dyDescent="0.3">
      <c r="B30" s="14"/>
      <c r="C30" s="1" t="s">
        <v>43</v>
      </c>
      <c r="D30" s="24"/>
      <c r="E30" s="26">
        <v>8.4746000000000006</v>
      </c>
      <c r="F30" s="15"/>
    </row>
    <row r="31" spans="2:6" x14ac:dyDescent="0.3">
      <c r="B31" s="14"/>
      <c r="C31" s="1" t="s">
        <v>44</v>
      </c>
      <c r="D31" s="24"/>
      <c r="E31" s="26">
        <v>0</v>
      </c>
      <c r="F31" s="15"/>
    </row>
    <row r="32" spans="2:6" x14ac:dyDescent="0.3">
      <c r="B32" s="14"/>
      <c r="C32" s="1" t="s">
        <v>45</v>
      </c>
      <c r="D32" s="24"/>
      <c r="E32" s="26">
        <v>8.4746000000000006</v>
      </c>
      <c r="F32" s="15"/>
    </row>
    <row r="33" spans="2:6" x14ac:dyDescent="0.3">
      <c r="B33" s="14"/>
      <c r="C33" s="1" t="s">
        <v>46</v>
      </c>
      <c r="D33" s="24"/>
      <c r="E33" s="26">
        <v>0</v>
      </c>
      <c r="F33" s="15"/>
    </row>
    <row r="34" spans="2:6" x14ac:dyDescent="0.3">
      <c r="B34" s="14"/>
      <c r="C34" s="1" t="s">
        <v>47</v>
      </c>
      <c r="D34" s="24"/>
      <c r="E34" s="26">
        <v>8.4746000000000006</v>
      </c>
      <c r="F34" s="15"/>
    </row>
    <row r="35" spans="2:6" x14ac:dyDescent="0.3">
      <c r="B35" s="14"/>
      <c r="C35" s="1" t="s">
        <v>48</v>
      </c>
      <c r="D35" s="24"/>
      <c r="E35" s="26">
        <v>0</v>
      </c>
      <c r="F35" s="15"/>
    </row>
    <row r="36" spans="2:6" x14ac:dyDescent="0.3">
      <c r="B36" s="14"/>
      <c r="C36" s="1" t="s">
        <v>49</v>
      </c>
      <c r="D36" s="24"/>
      <c r="E36" s="26">
        <v>8.4746000000000006</v>
      </c>
      <c r="F36" s="15"/>
    </row>
    <row r="37" spans="2:6" x14ac:dyDescent="0.3">
      <c r="B37" s="14"/>
      <c r="C37" s="1" t="s">
        <v>50</v>
      </c>
      <c r="D37" s="24"/>
      <c r="E37" s="26">
        <v>0</v>
      </c>
      <c r="F37" s="15"/>
    </row>
    <row r="38" spans="2:6" x14ac:dyDescent="0.3">
      <c r="B38" s="14"/>
      <c r="C38" s="1" t="s">
        <v>51</v>
      </c>
      <c r="D38" s="24"/>
      <c r="E38" s="26">
        <v>21.186399999999999</v>
      </c>
      <c r="F38" s="15"/>
    </row>
    <row r="39" spans="2:6" x14ac:dyDescent="0.3">
      <c r="B39" s="14"/>
      <c r="C39" s="1" t="s">
        <v>52</v>
      </c>
      <c r="D39" s="24"/>
      <c r="E39" s="26">
        <v>169.4915</v>
      </c>
      <c r="F39" s="15"/>
    </row>
    <row r="40" spans="2:6" x14ac:dyDescent="0.3">
      <c r="B40" s="14"/>
      <c r="C40" s="1" t="s">
        <v>53</v>
      </c>
      <c r="D40" s="24"/>
      <c r="E40" s="26">
        <v>84.745800000000003</v>
      </c>
      <c r="F40" s="15"/>
    </row>
    <row r="41" spans="2:6" x14ac:dyDescent="0.3">
      <c r="B41" s="14"/>
      <c r="C41" s="1" t="s">
        <v>125</v>
      </c>
      <c r="D41" s="24"/>
      <c r="E41" s="26">
        <v>84.745800000000003</v>
      </c>
      <c r="F41" s="15"/>
    </row>
    <row r="42" spans="2:6" x14ac:dyDescent="0.3">
      <c r="B42" s="14"/>
      <c r="C42" s="1" t="s">
        <v>126</v>
      </c>
      <c r="D42" s="24"/>
      <c r="E42" s="26">
        <v>84.745800000000003</v>
      </c>
      <c r="F42" s="15"/>
    </row>
    <row r="43" spans="2:6" x14ac:dyDescent="0.3">
      <c r="B43" s="14"/>
      <c r="C43" s="1" t="s">
        <v>54</v>
      </c>
      <c r="D43" s="24"/>
      <c r="E43" s="26">
        <v>0</v>
      </c>
      <c r="F43" s="15"/>
    </row>
    <row r="44" spans="2:6" x14ac:dyDescent="0.3">
      <c r="B44" s="14"/>
      <c r="C44" s="1" t="s">
        <v>55</v>
      </c>
      <c r="D44" s="24"/>
      <c r="E44" s="26">
        <v>8.4033999999999995</v>
      </c>
      <c r="F44" s="15"/>
    </row>
    <row r="45" spans="2:6" x14ac:dyDescent="0.3">
      <c r="B45" s="14"/>
      <c r="C45" s="1" t="s">
        <v>56</v>
      </c>
      <c r="D45" s="24"/>
      <c r="E45" s="26">
        <v>25.4237</v>
      </c>
      <c r="F45" s="15"/>
    </row>
    <row r="46" spans="2:6" x14ac:dyDescent="0.3">
      <c r="B46" s="14"/>
      <c r="C46" s="1" t="s">
        <v>129</v>
      </c>
      <c r="D46" s="24"/>
      <c r="E46" s="26">
        <v>0</v>
      </c>
      <c r="F46" s="15"/>
    </row>
    <row r="47" spans="2:6" x14ac:dyDescent="0.3">
      <c r="B47" s="14"/>
      <c r="C47" s="1" t="s">
        <v>57</v>
      </c>
      <c r="D47" s="24"/>
      <c r="E47" s="26">
        <v>127.1186</v>
      </c>
      <c r="F47" s="15"/>
    </row>
    <row r="48" spans="2:6" x14ac:dyDescent="0.3">
      <c r="B48" s="14"/>
      <c r="C48" s="1" t="s">
        <v>58</v>
      </c>
      <c r="D48" s="24"/>
      <c r="E48" s="26">
        <v>0</v>
      </c>
      <c r="F48" s="15"/>
    </row>
    <row r="49" spans="2:6" x14ac:dyDescent="0.3">
      <c r="B49" s="14"/>
      <c r="C49" s="1" t="s">
        <v>59</v>
      </c>
      <c r="D49" s="24"/>
      <c r="E49" s="26">
        <v>49.9</v>
      </c>
      <c r="F49" s="15"/>
    </row>
    <row r="50" spans="2:6" x14ac:dyDescent="0.3">
      <c r="B50" s="14"/>
      <c r="C50" s="1" t="s">
        <v>60</v>
      </c>
      <c r="D50" s="24"/>
      <c r="E50" s="26">
        <v>69.900000000000006</v>
      </c>
      <c r="F50" s="15"/>
    </row>
    <row r="51" spans="2:6" x14ac:dyDescent="0.3">
      <c r="B51" s="14"/>
      <c r="C51" s="1" t="s">
        <v>61</v>
      </c>
      <c r="D51" s="24"/>
      <c r="E51" s="26">
        <v>99.9</v>
      </c>
      <c r="F51" s="15"/>
    </row>
    <row r="52" spans="2:6" x14ac:dyDescent="0.3">
      <c r="B52" s="14"/>
      <c r="C52" s="1" t="s">
        <v>62</v>
      </c>
      <c r="D52" s="24"/>
      <c r="E52" s="26">
        <v>8.4068000000000005</v>
      </c>
      <c r="F52" s="15"/>
    </row>
    <row r="53" spans="2:6" x14ac:dyDescent="0.3">
      <c r="B53" s="14"/>
      <c r="C53" s="1" t="s">
        <v>63</v>
      </c>
      <c r="D53" s="24"/>
      <c r="E53" s="26">
        <v>58</v>
      </c>
      <c r="F53" s="15"/>
    </row>
    <row r="54" spans="2:6" x14ac:dyDescent="0.3">
      <c r="B54" s="14"/>
      <c r="C54" s="1" t="s">
        <v>64</v>
      </c>
      <c r="D54" s="24"/>
      <c r="E54" s="26">
        <v>72</v>
      </c>
      <c r="F54" s="15"/>
    </row>
    <row r="55" spans="2:6" x14ac:dyDescent="0.3">
      <c r="B55" s="14"/>
      <c r="C55" s="1" t="s">
        <v>65</v>
      </c>
      <c r="D55" s="24"/>
      <c r="E55" s="26">
        <v>75</v>
      </c>
      <c r="F55" s="15"/>
    </row>
    <row r="56" spans="2:6" x14ac:dyDescent="0.3">
      <c r="B56" s="14"/>
      <c r="C56" s="1" t="s">
        <v>66</v>
      </c>
      <c r="D56" s="24"/>
      <c r="E56" s="26">
        <v>122.67</v>
      </c>
      <c r="F56" s="15"/>
    </row>
    <row r="57" spans="2:6" x14ac:dyDescent="0.3">
      <c r="B57" s="14"/>
      <c r="C57" s="1" t="s">
        <v>67</v>
      </c>
      <c r="D57" s="24"/>
      <c r="E57" s="26">
        <v>411.29660000000001</v>
      </c>
      <c r="F57" s="15"/>
    </row>
    <row r="58" spans="2:6" x14ac:dyDescent="0.3">
      <c r="B58" s="14"/>
      <c r="C58" s="1" t="s">
        <v>68</v>
      </c>
      <c r="D58" s="24"/>
      <c r="E58" s="26">
        <v>19</v>
      </c>
      <c r="F58" s="15"/>
    </row>
    <row r="59" spans="2:6" x14ac:dyDescent="0.3">
      <c r="B59" s="14"/>
      <c r="C59" s="1" t="s">
        <v>69</v>
      </c>
      <c r="D59" s="24"/>
      <c r="E59" s="26">
        <v>29</v>
      </c>
      <c r="F59" s="15"/>
    </row>
    <row r="60" spans="2:6" x14ac:dyDescent="0.3">
      <c r="B60" s="14"/>
      <c r="C60" s="1" t="s">
        <v>70</v>
      </c>
      <c r="D60" s="24"/>
      <c r="E60" s="26">
        <v>45</v>
      </c>
      <c r="F60" s="15"/>
    </row>
    <row r="61" spans="2:6" x14ac:dyDescent="0.3">
      <c r="B61" s="14"/>
      <c r="C61" s="1" t="s">
        <v>71</v>
      </c>
      <c r="D61" s="24"/>
      <c r="E61" s="26">
        <v>25</v>
      </c>
      <c r="F61" s="15"/>
    </row>
    <row r="62" spans="2:6" x14ac:dyDescent="0.3">
      <c r="B62" s="14"/>
      <c r="C62" s="1" t="s">
        <v>72</v>
      </c>
      <c r="D62" s="24"/>
      <c r="E62" s="26">
        <v>70</v>
      </c>
      <c r="F62" s="15"/>
    </row>
    <row r="63" spans="2:6" x14ac:dyDescent="0.3">
      <c r="B63" s="14"/>
      <c r="C63" s="1" t="s">
        <v>73</v>
      </c>
      <c r="D63" s="24"/>
      <c r="E63" s="26">
        <v>0</v>
      </c>
      <c r="F63" s="15"/>
    </row>
    <row r="64" spans="2:6" x14ac:dyDescent="0.3">
      <c r="B64" s="14"/>
      <c r="C64" s="1" t="s">
        <v>74</v>
      </c>
      <c r="D64" s="24"/>
      <c r="E64" s="26">
        <v>20</v>
      </c>
      <c r="F64" s="15"/>
    </row>
    <row r="65" spans="2:6" x14ac:dyDescent="0.3">
      <c r="B65" s="14"/>
      <c r="C65" s="1" t="s">
        <v>75</v>
      </c>
      <c r="D65" s="24"/>
      <c r="E65" s="26">
        <v>40</v>
      </c>
      <c r="F65" s="15"/>
    </row>
    <row r="66" spans="2:6" x14ac:dyDescent="0.3">
      <c r="B66" s="14"/>
      <c r="C66" s="1" t="s">
        <v>76</v>
      </c>
      <c r="D66" s="24"/>
      <c r="E66" s="26">
        <v>100</v>
      </c>
      <c r="F66" s="15"/>
    </row>
    <row r="67" spans="2:6" x14ac:dyDescent="0.3">
      <c r="B67" s="14"/>
      <c r="C67" s="1" t="s">
        <v>77</v>
      </c>
      <c r="D67" s="24"/>
      <c r="E67" s="26">
        <v>63.5593</v>
      </c>
      <c r="F67" s="15"/>
    </row>
    <row r="68" spans="2:6" x14ac:dyDescent="0.3">
      <c r="B68" s="14"/>
      <c r="C68" s="1" t="s">
        <v>78</v>
      </c>
      <c r="D68" s="24"/>
      <c r="E68" s="26">
        <v>236</v>
      </c>
      <c r="F68" s="15"/>
    </row>
    <row r="69" spans="2:6" x14ac:dyDescent="0.3">
      <c r="B69" s="14"/>
      <c r="C69" s="1" t="s">
        <v>79</v>
      </c>
      <c r="D69" s="24"/>
      <c r="E69" s="26">
        <v>163</v>
      </c>
      <c r="F69" s="15"/>
    </row>
    <row r="70" spans="2:6" x14ac:dyDescent="0.3">
      <c r="B70" s="14"/>
      <c r="C70" s="1" t="s">
        <v>80</v>
      </c>
      <c r="D70" s="24"/>
      <c r="E70" s="26">
        <v>307.10000000000002</v>
      </c>
      <c r="F70" s="15"/>
    </row>
    <row r="71" spans="2:6" x14ac:dyDescent="0.3">
      <c r="B71" s="14"/>
      <c r="C71" s="1" t="s">
        <v>81</v>
      </c>
      <c r="D71" s="24"/>
      <c r="E71" s="26">
        <v>150</v>
      </c>
      <c r="F71" s="15"/>
    </row>
    <row r="72" spans="2:6" x14ac:dyDescent="0.3">
      <c r="B72" s="14"/>
      <c r="C72" s="1" t="s">
        <v>82</v>
      </c>
      <c r="D72" s="24"/>
      <c r="E72" s="26">
        <v>208.86</v>
      </c>
      <c r="F72" s="15"/>
    </row>
    <row r="73" spans="2:6" x14ac:dyDescent="0.3">
      <c r="B73" s="14"/>
      <c r="C73" s="1" t="s">
        <v>83</v>
      </c>
      <c r="D73" s="24"/>
      <c r="E73" s="26">
        <v>123.62</v>
      </c>
      <c r="F73" s="15"/>
    </row>
    <row r="74" spans="2:6" x14ac:dyDescent="0.3">
      <c r="B74" s="14"/>
      <c r="C74" s="1" t="s">
        <v>84</v>
      </c>
      <c r="D74" s="24"/>
      <c r="E74" s="26">
        <v>128.34</v>
      </c>
      <c r="F74" s="15"/>
    </row>
    <row r="75" spans="2:6" x14ac:dyDescent="0.3">
      <c r="B75" s="14"/>
      <c r="C75" s="1" t="s">
        <v>85</v>
      </c>
      <c r="D75" s="24"/>
      <c r="E75" s="26">
        <v>170.26</v>
      </c>
      <c r="F75" s="15"/>
    </row>
    <row r="76" spans="2:6" x14ac:dyDescent="0.3">
      <c r="B76" s="14"/>
      <c r="C76" s="1" t="s">
        <v>86</v>
      </c>
      <c r="D76" s="24"/>
      <c r="E76" s="26">
        <v>103.43</v>
      </c>
      <c r="F76" s="15"/>
    </row>
    <row r="77" spans="2:6" x14ac:dyDescent="0.3">
      <c r="B77" s="14"/>
      <c r="C77" s="1" t="s">
        <v>87</v>
      </c>
      <c r="D77" s="24"/>
      <c r="E77" s="26">
        <v>0</v>
      </c>
      <c r="F77" s="15"/>
    </row>
    <row r="78" spans="2:6" x14ac:dyDescent="0.3">
      <c r="B78" s="14"/>
      <c r="C78" s="1" t="s">
        <v>88</v>
      </c>
      <c r="D78" s="24"/>
      <c r="E78" s="26">
        <v>600</v>
      </c>
      <c r="F78" s="15"/>
    </row>
    <row r="79" spans="2:6" x14ac:dyDescent="0.3">
      <c r="B79" s="14"/>
      <c r="C79" s="1" t="s">
        <v>89</v>
      </c>
      <c r="D79" s="24"/>
      <c r="E79" s="26">
        <v>24.5762</v>
      </c>
      <c r="F79" s="15"/>
    </row>
    <row r="80" spans="2:6" x14ac:dyDescent="0.3">
      <c r="B80" s="14"/>
      <c r="C80" s="1" t="s">
        <v>90</v>
      </c>
      <c r="D80" s="24"/>
      <c r="E80" s="26">
        <v>24.5762</v>
      </c>
      <c r="F80" s="15"/>
    </row>
    <row r="81" spans="2:6" x14ac:dyDescent="0.3">
      <c r="B81" s="14"/>
      <c r="C81" s="1" t="s">
        <v>91</v>
      </c>
      <c r="D81" s="24"/>
      <c r="E81" s="26">
        <v>0</v>
      </c>
      <c r="F81" s="15"/>
    </row>
    <row r="82" spans="2:6" x14ac:dyDescent="0.3">
      <c r="B82" s="14"/>
      <c r="C82" s="1" t="s">
        <v>92</v>
      </c>
      <c r="D82" s="24"/>
      <c r="E82" s="26">
        <v>427.5</v>
      </c>
      <c r="F82" s="15"/>
    </row>
    <row r="83" spans="2:6" x14ac:dyDescent="0.3">
      <c r="B83" s="14"/>
      <c r="C83" s="1" t="s">
        <v>93</v>
      </c>
      <c r="D83" s="24"/>
      <c r="E83" s="26">
        <v>122.67</v>
      </c>
      <c r="F83" s="15"/>
    </row>
    <row r="84" spans="2:6" x14ac:dyDescent="0.3">
      <c r="B84" s="14"/>
      <c r="C84" s="1" t="s">
        <v>94</v>
      </c>
      <c r="D84" s="24"/>
      <c r="E84" s="26">
        <v>546.79999999999995</v>
      </c>
      <c r="F84" s="15"/>
    </row>
    <row r="85" spans="2:6" x14ac:dyDescent="0.3">
      <c r="B85" s="14"/>
      <c r="C85" s="1" t="s">
        <v>95</v>
      </c>
      <c r="D85" s="24"/>
      <c r="E85" s="26">
        <v>227</v>
      </c>
      <c r="F85" s="15"/>
    </row>
    <row r="86" spans="2:6" x14ac:dyDescent="0.3">
      <c r="B86" s="14"/>
      <c r="C86" s="1" t="s">
        <v>96</v>
      </c>
      <c r="D86" s="24"/>
      <c r="E86" s="26">
        <v>31.9328</v>
      </c>
      <c r="F86" s="15"/>
    </row>
    <row r="87" spans="2:6" x14ac:dyDescent="0.3">
      <c r="B87" s="14"/>
      <c r="C87" s="1" t="s">
        <v>97</v>
      </c>
      <c r="D87" s="24"/>
      <c r="E87" s="26">
        <v>156</v>
      </c>
      <c r="F87" s="15"/>
    </row>
    <row r="88" spans="2:6" ht="15" thickBot="1" x14ac:dyDescent="0.35">
      <c r="B88" s="16"/>
      <c r="C88" s="17"/>
      <c r="D88" s="17"/>
      <c r="E88" s="17"/>
      <c r="F88" s="18"/>
    </row>
  </sheetData>
  <sheetProtection algorithmName="SHA-512" hashValue="5hzJRwRpbERwtVAhsN6sIxkR0SFIp36znGs2enwuTw1qtl43Zuvupv7A3eE+QeGEpVkCcsYGM0MZ2u7+MudOKw==" saltValue="DKheUJ1jm24SxxI1LJ8NXA==" spinCount="100000" sheet="1" objects="1" scenarios="1"/>
  <mergeCells count="1">
    <mergeCell ref="C3:E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048C-1041-4A87-A692-59A48E2A8E2E}">
  <sheetPr codeName="Hoja3"/>
  <dimension ref="B2:B9"/>
  <sheetViews>
    <sheetView workbookViewId="0">
      <selection activeCell="B10" sqref="B10"/>
    </sheetView>
  </sheetViews>
  <sheetFormatPr baseColWidth="10" defaultRowHeight="14.4" x14ac:dyDescent="0.3"/>
  <cols>
    <col min="2" max="2" width="17.88671875" customWidth="1"/>
    <col min="4" max="4" width="21.44140625" bestFit="1" customWidth="1"/>
    <col min="5" max="5" width="8.44140625" bestFit="1" customWidth="1"/>
    <col min="6" max="6" width="10.5546875" bestFit="1" customWidth="1"/>
    <col min="7" max="7" width="10.109375" bestFit="1" customWidth="1"/>
    <col min="8" max="8" width="10.88671875" bestFit="1" customWidth="1"/>
    <col min="9" max="9" width="12" bestFit="1" customWidth="1"/>
    <col min="10" max="10" width="7.88671875" bestFit="1" customWidth="1"/>
    <col min="11" max="11" width="7" bestFit="1" customWidth="1"/>
    <col min="12" max="12" width="14.88671875" bestFit="1" customWidth="1"/>
    <col min="13" max="13" width="10.109375" bestFit="1" customWidth="1"/>
    <col min="14" max="14" width="4" bestFit="1" customWidth="1"/>
    <col min="15" max="15" width="6.44140625" bestFit="1" customWidth="1"/>
    <col min="16" max="16" width="11.88671875" bestFit="1" customWidth="1"/>
    <col min="17" max="17" width="13" bestFit="1" customWidth="1"/>
    <col min="18" max="18" width="5.44140625" bestFit="1" customWidth="1"/>
    <col min="19" max="19" width="7.88671875" bestFit="1" customWidth="1"/>
    <col min="20" max="20" width="14.88671875" bestFit="1" customWidth="1"/>
    <col min="21" max="21" width="11.6640625" bestFit="1" customWidth="1"/>
    <col min="22" max="22" width="7" bestFit="1" customWidth="1"/>
    <col min="23" max="23" width="6.44140625" bestFit="1" customWidth="1"/>
    <col min="24" max="24" width="6.33203125" bestFit="1" customWidth="1"/>
    <col min="25" max="25" width="12.33203125" bestFit="1" customWidth="1"/>
    <col min="26" max="26" width="7.109375" bestFit="1" customWidth="1"/>
    <col min="27" max="27" width="8.109375" bestFit="1" customWidth="1"/>
    <col min="28" max="28" width="8.44140625" bestFit="1" customWidth="1"/>
  </cols>
  <sheetData>
    <row r="2" spans="2:2" x14ac:dyDescent="0.3">
      <c r="B2" t="s">
        <v>115</v>
      </c>
    </row>
    <row r="3" spans="2:2" x14ac:dyDescent="0.3">
      <c r="B3" t="s">
        <v>116</v>
      </c>
    </row>
    <row r="4" spans="2:2" x14ac:dyDescent="0.3">
      <c r="B4" t="s">
        <v>117</v>
      </c>
    </row>
    <row r="5" spans="2:2" x14ac:dyDescent="0.3">
      <c r="B5" t="s">
        <v>118</v>
      </c>
    </row>
    <row r="6" spans="2:2" x14ac:dyDescent="0.3">
      <c r="B6" t="s">
        <v>119</v>
      </c>
    </row>
    <row r="7" spans="2:2" x14ac:dyDescent="0.3">
      <c r="B7" t="s">
        <v>120</v>
      </c>
    </row>
    <row r="8" spans="2:2" x14ac:dyDescent="0.3">
      <c r="B8" t="s">
        <v>121</v>
      </c>
    </row>
    <row r="9" spans="2:2" x14ac:dyDescent="0.3">
      <c r="B9" t="s">
        <v>123</v>
      </c>
    </row>
  </sheetData>
  <sheetProtection algorithmName="SHA-512" hashValue="PhhtaQ3UKDg1pPW5h4b1hRkUGcP8qf2Orcj5LWHLbVT4zc4okm9H5u1OSweT6jEKz5tLSc2AIvQo6XgHBudEgA==" saltValue="Ea4EDoETAjgE4oLLDYEQh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SOLICITUD T Y S</vt:lpstr>
      <vt:lpstr>SUPLEMENTARIOS</vt:lpstr>
      <vt:lpstr>Datos</vt:lpstr>
    </vt:vector>
  </TitlesOfParts>
  <Company>ENTEL PERU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Santillana Tenorio, Alessandra</dc:creator>
  <cp:lastModifiedBy>Luis Raul  Zambrano Leon</cp:lastModifiedBy>
  <dcterms:created xsi:type="dcterms:W3CDTF">2021-02-16T15:13:27Z</dcterms:created>
  <dcterms:modified xsi:type="dcterms:W3CDTF">2026-09-24T22:24:36Z</dcterms:modified>
</cp:coreProperties>
</file>